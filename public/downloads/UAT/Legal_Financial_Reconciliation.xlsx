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ciliation" sheetId="1" state="visible" r:id="rId1"/>
  </sheets>
  <definedNames>
    <definedName name="_xlnm._FilterDatabase" localSheetId="0" hidden="1">'Reconciliation'!$A$1:$J$9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C7CED9"/>
      </left>
      <right style="thin">
        <color rgb="00C7CED9"/>
      </right>
      <top style="thin">
        <color rgb="00C7CED9"/>
      </top>
      <bottom style="thin">
        <color rgb="00C7CE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4" fontId="1" fillId="3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1" customWidth="1" min="3" max="3"/>
    <col width="19" customWidth="1" min="4" max="4"/>
    <col width="13" customWidth="1" min="5" max="5"/>
    <col width="17" customWidth="1" min="6" max="6"/>
    <col width="15" customWidth="1" min="7" max="7"/>
    <col width="24" customWidth="1" min="8" max="8"/>
    <col width="22" customWidth="1" min="9" max="9"/>
    <col width="33" customWidth="1" min="10" max="10"/>
  </cols>
  <sheetData>
    <row r="1" ht="26" customHeight="1">
      <c r="A1" s="1" t="inlineStr">
        <is>
          <t>Case No</t>
        </is>
      </c>
      <c r="B1" s="1" t="inlineStr">
        <is>
          <t>Liabs</t>
        </is>
      </c>
      <c r="C1" s="1" t="inlineStr">
        <is>
          <t>Assessed (Expected)</t>
        </is>
      </c>
      <c r="D1" s="1" t="inlineStr">
        <is>
          <t>Assessed (Actual)</t>
        </is>
      </c>
      <c r="E1" s="1" t="inlineStr">
        <is>
          <t>Variance</t>
        </is>
      </c>
      <c r="F1" s="1" t="inlineStr">
        <is>
          <t>Paid (Expected)</t>
        </is>
      </c>
      <c r="G1" s="1" t="inlineStr">
        <is>
          <t>Paid (Actual)</t>
        </is>
      </c>
      <c r="H1" s="1" t="inlineStr">
        <is>
          <t>Outstanding (Expected)</t>
        </is>
      </c>
      <c r="I1" s="1" t="inlineStr">
        <is>
          <t>Outstanding (Actual)</t>
        </is>
      </c>
      <c r="J1" s="1" t="inlineStr">
        <is>
          <t>Reconciled</t>
        </is>
      </c>
    </row>
    <row r="2">
      <c r="A2" s="2" t="inlineStr">
        <is>
          <t>LG-SKN-2026-000017</t>
        </is>
      </c>
      <c r="B2" s="2" t="n">
        <v>2</v>
      </c>
      <c r="C2" s="3" t="n">
        <v>11400</v>
      </c>
      <c r="D2" s="3" t="n">
        <v>11400</v>
      </c>
      <c r="E2" s="3">
        <f>D2-C2</f>
        <v/>
      </c>
      <c r="F2" s="3" t="n">
        <v>0</v>
      </c>
      <c r="G2" s="3" t="n">
        <v>0</v>
      </c>
      <c r="H2" s="3" t="n">
        <v>0</v>
      </c>
      <c r="I2" s="3">
        <f>D2-G2</f>
        <v/>
      </c>
      <c r="J2" s="2">
        <f>IF(AND(E2=0,I2=H2),"YES","NO")</f>
        <v/>
      </c>
    </row>
    <row r="3">
      <c r="A3" s="4" t="inlineStr">
        <is>
          <t>LG-SKN-2026-000018</t>
        </is>
      </c>
      <c r="B3" s="4" t="n">
        <v>5</v>
      </c>
      <c r="C3" s="5" t="n">
        <v>19000</v>
      </c>
      <c r="D3" s="5" t="n">
        <v>19000</v>
      </c>
      <c r="E3" s="5">
        <f>D3-C3</f>
        <v/>
      </c>
      <c r="F3" s="5" t="n">
        <v>0</v>
      </c>
      <c r="G3" s="5" t="n">
        <v>0</v>
      </c>
      <c r="H3" s="5" t="n">
        <v>0</v>
      </c>
      <c r="I3" s="5">
        <f>D3-G3</f>
        <v/>
      </c>
      <c r="J3" s="4">
        <f>IF(AND(E3=0,I3=H3),"YES","NO")</f>
        <v/>
      </c>
    </row>
    <row r="4">
      <c r="A4" s="2" t="inlineStr">
        <is>
          <t>LG-SKN-2026-000019</t>
        </is>
      </c>
      <c r="B4" s="2" t="n">
        <v>5</v>
      </c>
      <c r="C4" s="3" t="n">
        <v>19000</v>
      </c>
      <c r="D4" s="3" t="n">
        <v>19000</v>
      </c>
      <c r="E4" s="3">
        <f>D4-C4</f>
        <v/>
      </c>
      <c r="F4" s="3" t="n">
        <v>0</v>
      </c>
      <c r="G4" s="3" t="n">
        <v>0</v>
      </c>
      <c r="H4" s="3" t="n">
        <v>0</v>
      </c>
      <c r="I4" s="3">
        <f>D4-G4</f>
        <v/>
      </c>
      <c r="J4" s="2">
        <f>IF(AND(E4=0,I4=H4),"YES","NO")</f>
        <v/>
      </c>
    </row>
    <row r="5">
      <c r="A5" s="4" t="inlineStr">
        <is>
          <t>SEED-LG-2026-0001</t>
        </is>
      </c>
      <c r="B5" s="4" t="n">
        <v>3</v>
      </c>
      <c r="C5" s="5" t="n">
        <v>51750</v>
      </c>
      <c r="D5" s="5" t="n">
        <v>51750</v>
      </c>
      <c r="E5" s="5">
        <f>D5-C5</f>
        <v/>
      </c>
      <c r="F5" s="5" t="n">
        <v>25875</v>
      </c>
      <c r="G5" s="5" t="n">
        <v>25875</v>
      </c>
      <c r="H5" s="5" t="n">
        <v>25875</v>
      </c>
      <c r="I5" s="5">
        <f>D5-G5</f>
        <v/>
      </c>
      <c r="J5" s="4">
        <f>IF(AND(E5=0,I5=H5),"YES","NO")</f>
        <v/>
      </c>
    </row>
    <row r="6">
      <c r="A6" s="2" t="inlineStr">
        <is>
          <t>SEED-LG-2026-0002</t>
        </is>
      </c>
      <c r="B6" s="2" t="n">
        <v>2</v>
      </c>
      <c r="C6" s="3" t="n">
        <v>34500</v>
      </c>
      <c r="D6" s="3" t="n">
        <v>34500</v>
      </c>
      <c r="E6" s="3">
        <f>D6-C6</f>
        <v/>
      </c>
      <c r="F6" s="3" t="n">
        <v>11500</v>
      </c>
      <c r="G6" s="3" t="n">
        <v>11500</v>
      </c>
      <c r="H6" s="3" t="n">
        <v>23000</v>
      </c>
      <c r="I6" s="3">
        <f>D6-G6</f>
        <v/>
      </c>
      <c r="J6" s="2">
        <f>IF(AND(E6=0,I6=H6),"YES","NO")</f>
        <v/>
      </c>
    </row>
    <row r="7">
      <c r="A7" s="4" t="inlineStr">
        <is>
          <t>SEED-LG-2026-0003</t>
        </is>
      </c>
      <c r="B7" s="4" t="n">
        <v>1</v>
      </c>
      <c r="C7" s="5" t="n">
        <v>8500</v>
      </c>
      <c r="D7" s="5" t="n">
        <v>8500</v>
      </c>
      <c r="E7" s="5">
        <f>D7-C7</f>
        <v/>
      </c>
      <c r="F7" s="5" t="n">
        <v>8500</v>
      </c>
      <c r="G7" s="5" t="n">
        <v>8500</v>
      </c>
      <c r="H7" s="5" t="n">
        <v>0</v>
      </c>
      <c r="I7" s="5">
        <f>D7-G7</f>
        <v/>
      </c>
      <c r="J7" s="4">
        <f>IF(AND(E7=0,I7=H7),"YES","NO")</f>
        <v/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6" t="inlineStr">
        <is>
          <t>TOTALS</t>
        </is>
      </c>
      <c r="B9" s="4" t="n"/>
      <c r="C9" s="7">
        <f>SUM(C2:C8)</f>
        <v/>
      </c>
      <c r="D9" s="7">
        <f>SUM(D2:D8)</f>
        <v/>
      </c>
      <c r="E9" s="7">
        <f>SUM(E2:E8)</f>
        <v/>
      </c>
      <c r="F9" s="7">
        <f>SUM(F2:F8)</f>
        <v/>
      </c>
      <c r="G9" s="7">
        <f>SUM(G2:G8)</f>
        <v/>
      </c>
      <c r="H9" s="7">
        <f>SUM(H2:H8)</f>
        <v/>
      </c>
      <c r="I9" s="7">
        <f>SUM(I2:I8)</f>
        <v/>
      </c>
      <c r="J9" s="4" t="n"/>
    </row>
  </sheetData>
  <autoFilter ref="A1:J9"/>
  <conditionalFormatting sqref="E2:E9">
    <cfRule type="cellIs" priority="1" operator="not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2026-07-03T20:54:04Z</dcterms:created>
  <dcterms:modified xmlns:dcterms="http://purl.org/dc/terms/" xmlns:xsi="http://www.w3.org/2001/XMLSchema-instance" xsi:type="dcterms:W3CDTF">2026-07-03T20:54:04Z</dcterms:modified>
</cp:coreProperties>
</file>